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127e9ed7e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_Data_Aug2026" sheetId="1" r:id="R9bbd452aa3e7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F2B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3A29"/>
      </x:patternFill>
    </x:fill>
    <x:fill>
      <x:patternFill patternType="solid">
        <x:fgColor rgb="FFD8C2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29ad050454568" /><Relationship Type="http://schemas.openxmlformats.org/officeDocument/2006/relationships/theme" Target="/xl/theme/theme1.xml" Id="Rb1ff72d61a65434a" /><Relationship Type="http://schemas.openxmlformats.org/officeDocument/2006/relationships/sharedStrings" Target="/xl/sharedStrings.xml" Id="Rc8496ea08b174091" /><Relationship Type="http://schemas.openxmlformats.org/officeDocument/2006/relationships/worksheet" Target="/xl/worksheets/sheet1.xml" Id="R9bbd452aa3e74bf7" /></Relationships>
</file>

<file path=xl/tables/table1.xml><?xml version="1.0" encoding="utf-8"?>
<x:table xmlns:x="http://schemas.openxmlformats.org/spreadsheetml/2006/main" id="1" name="BusinessDataTable" displayName="BusinessDataTable" ref="A1:H32" headerRowCount="1" totalsRowCount="0" totalsRowShown="0">
  <x:tableColumns count="8">
    <x:tableColumn id="1" name="Product_Name"/>
    <x:tableColumn id="2" name="Category"/>
    <x:tableColumn id="3" name="Quantity_Sold"/>
    <x:tableColumn id="4" name="Selling_Price"/>
    <x:tableColumn id="5" name="Cost_Price"/>
    <x:tableColumn id="6" name="Revenue"/>
    <x:tableColumn id="7" name="Profit"/>
    <x:tableColumn id="8" name="Sal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575729e57648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10" max="10" width="22" hidden="0" customWidth="1"/>
    <x:col min="11" max="11" width="16" hidden="0" customWidth="1"/>
  </x:cols>
  <x:sheetData>
    <x:row r="1" ht="24" customHeight="1">
      <x:c r="A1" s="5" t="str">
        <x:v>Product_Name</x:v>
      </x:c>
      <x:c r="B1" s="5" t="str">
        <x:v>Category</x:v>
      </x:c>
      <x:c r="C1" s="5" t="str">
        <x:v>Quantity_Sold</x:v>
      </x:c>
      <x:c r="D1" s="5" t="str">
        <x:v>Selling_Price</x:v>
      </x:c>
      <x:c r="E1" s="5" t="str">
        <x:v>Cost_Price</x:v>
      </x:c>
      <x:c r="F1" s="5" t="str">
        <x:v>Revenue</x:v>
      </x:c>
      <x:c r="G1" s="5" t="str">
        <x:v>Profit</x:v>
      </x:c>
      <x:c r="H1" s="5" t="str">
        <x:v>Sale_Date</x:v>
      </x:c>
      <x:c r="J1" s="20" t="str">
        <x:v>Tổng quan tháng 08/2026</x:v>
      </x:c>
      <x:c r="K1" s="20" t="str">
        <x:v>Giá trị</x:v>
      </x:c>
    </x:row>
    <x:row r="2">
      <x:c r="A2" t="str">
        <x:v>Cà phê đen</x:v>
      </x:c>
      <x:c r="B2" t="str">
        <x:v>Cà phê</x:v>
      </x:c>
      <x:c r="C2" s="10" t="n">
        <x:v>82</x:v>
      </x:c>
      <x:c r="D2" s="14" t="n">
        <x:v>20000</x:v>
      </x:c>
      <x:c r="E2" s="14" t="n">
        <x:v>7000</x:v>
      </x:c>
      <x:c r="F2" s="14" t="n">
        <x:f>C2*D2</x:f>
        <x:v>1640000</x:v>
      </x:c>
      <x:c r="G2" s="14" t="n">
        <x:f>(D2-E2)*C2</x:f>
        <x:v>1066000</x:v>
      </x:c>
      <x:c r="H2" s="16" t="n">
        <x:v>46235</x:v>
      </x:c>
      <x:c r="J2" t="str">
        <x:v>Tổng số lượng bán</x:v>
      </x:c>
      <x:c r="K2" s="24" t="n">
        <x:f>SUM(C2:C32)</x:f>
        <x:v>2602</x:v>
      </x:c>
    </x:row>
    <x:row r="3">
      <x:c r="A3" t="str">
        <x:v>Cà phê sữa</x:v>
      </x:c>
      <x:c r="B3" t="str">
        <x:v>Cà phê</x:v>
      </x:c>
      <x:c r="C3" s="10" t="n">
        <x:v>96</x:v>
      </x:c>
      <x:c r="D3" s="14" t="n">
        <x:v>25000</x:v>
      </x:c>
      <x:c r="E3" s="14" t="n">
        <x:v>9000</x:v>
      </x:c>
      <x:c r="F3" s="14" t="n">
        <x:f>C3*D3</x:f>
        <x:v>2400000</x:v>
      </x:c>
      <x:c r="G3" s="14" t="n">
        <x:f>(D3-E3)*C3</x:f>
        <x:v>1536000</x:v>
      </x:c>
      <x:c r="H3" s="16" t="n">
        <x:v>46236</x:v>
      </x:c>
      <x:c r="J3" t="str">
        <x:v>Tổng doanh thu</x:v>
      </x:c>
      <x:c r="K3" s="24" t="n">
        <x:f>SUM(F2:F32)</x:f>
        <x:v>81427000</x:v>
      </x:c>
    </x:row>
    <x:row r="4">
      <x:c r="A4" t="str">
        <x:v>Bạc xỉu</x:v>
      </x:c>
      <x:c r="B4" t="str">
        <x:v>Cà phê</x:v>
      </x:c>
      <x:c r="C4" s="10" t="n">
        <x:v>75</x:v>
      </x:c>
      <x:c r="D4" s="14" t="n">
        <x:v>28000</x:v>
      </x:c>
      <x:c r="E4" s="14" t="n">
        <x:v>11000</x:v>
      </x:c>
      <x:c r="F4" s="14" t="n">
        <x:f>C4*D4</x:f>
        <x:v>2100000</x:v>
      </x:c>
      <x:c r="G4" s="14" t="n">
        <x:f>(D4-E4)*C4</x:f>
        <x:v>1275000</x:v>
      </x:c>
      <x:c r="H4" s="16" t="n">
        <x:v>46237</x:v>
      </x:c>
      <x:c r="J4" t="str">
        <x:v>Tổng lợi nhuận</x:v>
      </x:c>
      <x:c r="K4" s="24" t="n">
        <x:f>SUM(G2:G32)</x:f>
        <x:v>47398000</x:v>
      </x:c>
    </x:row>
    <x:row r="5">
      <x:c r="A5" t="str">
        <x:v>Latte</x:v>
      </x:c>
      <x:c r="B5" t="str">
        <x:v>Cà phê</x:v>
      </x:c>
      <x:c r="C5" s="10" t="n">
        <x:v>68</x:v>
      </x:c>
      <x:c r="D5" s="14" t="n">
        <x:v>35000</x:v>
      </x:c>
      <x:c r="E5" s="14" t="n">
        <x:v>15000</x:v>
      </x:c>
      <x:c r="F5" s="14" t="n">
        <x:f>C5*D5</x:f>
        <x:v>2380000</x:v>
      </x:c>
      <x:c r="G5" s="14" t="n">
        <x:f>(D5-E5)*C5</x:f>
        <x:v>1360000</x:v>
      </x:c>
      <x:c r="H5" s="16" t="n">
        <x:v>46238</x:v>
      </x:c>
      <x:c r="J5" t="str">
        <x:v>Biên lợi nhuận</x:v>
      </x:c>
      <x:c r="K5" s="26" t="n">
        <x:f>K4/K3</x:f>
        <x:v>0.5820919351075197</x:v>
      </x:c>
    </x:row>
    <x:row r="6">
      <x:c r="A6" t="str">
        <x:v>Cappuccino</x:v>
      </x:c>
      <x:c r="B6" t="str">
        <x:v>Cà phê</x:v>
      </x:c>
      <x:c r="C6" s="10" t="n">
        <x:v>59</x:v>
      </x:c>
      <x:c r="D6" s="14" t="n">
        <x:v>38000</x:v>
      </x:c>
      <x:c r="E6" s="14" t="n">
        <x:v>17000</x:v>
      </x:c>
      <x:c r="F6" s="14" t="n">
        <x:f>C6*D6</x:f>
        <x:v>2242000</x:v>
      </x:c>
      <x:c r="G6" s="14" t="n">
        <x:f>(D6-E6)*C6</x:f>
        <x:v>1239000</x:v>
      </x:c>
      <x:c r="H6" s="16" t="n">
        <x:v>46239</x:v>
      </x:c>
    </x:row>
    <x:row r="7">
      <x:c r="A7" t="str">
        <x:v>Cà phê muối</x:v>
      </x:c>
      <x:c r="B7" t="str">
        <x:v>Cà phê</x:v>
      </x:c>
      <x:c r="C7" s="10" t="n">
        <x:v>88</x:v>
      </x:c>
      <x:c r="D7" s="14" t="n">
        <x:v>32000</x:v>
      </x:c>
      <x:c r="E7" s="14" t="n">
        <x:v>13000</x:v>
      </x:c>
      <x:c r="F7" s="14" t="n">
        <x:f>C7*D7</x:f>
        <x:v>2816000</x:v>
      </x:c>
      <x:c r="G7" s="14" t="n">
        <x:f>(D7-E7)*C7</x:f>
        <x:v>1672000</x:v>
      </x:c>
      <x:c r="H7" s="16" t="n">
        <x:v>46240</x:v>
      </x:c>
    </x:row>
    <x:row r="8">
      <x:c r="A8" t="str">
        <x:v>Trà sữa truyền thống</x:v>
      </x:c>
      <x:c r="B8" t="str">
        <x:v>Trà sữa</x:v>
      </x:c>
      <x:c r="C8" s="10" t="n">
        <x:v>105</x:v>
      </x:c>
      <x:c r="D8" s="14" t="n">
        <x:v>30000</x:v>
      </x:c>
      <x:c r="E8" s="14" t="n">
        <x:v>12000</x:v>
      </x:c>
      <x:c r="F8" s="14" t="n">
        <x:f>C8*D8</x:f>
        <x:v>3150000</x:v>
      </x:c>
      <x:c r="G8" s="14" t="n">
        <x:f>(D8-E8)*C8</x:f>
        <x:v>1890000</x:v>
      </x:c>
      <x:c r="H8" s="16" t="n">
        <x:v>46241</x:v>
      </x:c>
    </x:row>
    <x:row r="9">
      <x:c r="A9" t="str">
        <x:v>Trà sữa trân châu</x:v>
      </x:c>
      <x:c r="B9" t="str">
        <x:v>Trà sữa</x:v>
      </x:c>
      <x:c r="C9" s="10" t="n">
        <x:v>92</x:v>
      </x:c>
      <x:c r="D9" s="14" t="n">
        <x:v>35000</x:v>
      </x:c>
      <x:c r="E9" s="14" t="n">
        <x:v>15000</x:v>
      </x:c>
      <x:c r="F9" s="14" t="n">
        <x:f>C9*D9</x:f>
        <x:v>3220000</x:v>
      </x:c>
      <x:c r="G9" s="14" t="n">
        <x:f>(D9-E9)*C9</x:f>
        <x:v>1840000</x:v>
      </x:c>
      <x:c r="H9" s="16" t="n">
        <x:v>46242</x:v>
      </x:c>
    </x:row>
    <x:row r="10">
      <x:c r="A10" t="str">
        <x:v>Trà sữa matcha</x:v>
      </x:c>
      <x:c r="B10" t="str">
        <x:v>Trà sữa</x:v>
      </x:c>
      <x:c r="C10" s="10" t="n">
        <x:v>77</x:v>
      </x:c>
      <x:c r="D10" s="14" t="n">
        <x:v>35000</x:v>
      </x:c>
      <x:c r="E10" s="14" t="n">
        <x:v>16000</x:v>
      </x:c>
      <x:c r="F10" s="14" t="n">
        <x:f>C10*D10</x:f>
        <x:v>2695000</x:v>
      </x:c>
      <x:c r="G10" s="14" t="n">
        <x:f>(D10-E10)*C10</x:f>
        <x:v>1463000</x:v>
      </x:c>
      <x:c r="H10" s="16" t="n">
        <x:v>46243</x:v>
      </x:c>
    </x:row>
    <x:row r="11">
      <x:c r="A11" t="str">
        <x:v>Trà sữa socola</x:v>
      </x:c>
      <x:c r="B11" t="str">
        <x:v>Trà sữa</x:v>
      </x:c>
      <x:c r="C11" s="10" t="n">
        <x:v>73</x:v>
      </x:c>
      <x:c r="D11" s="14" t="n">
        <x:v>36000</x:v>
      </x:c>
      <x:c r="E11" s="14" t="n">
        <x:v>16500</x:v>
      </x:c>
      <x:c r="F11" s="14" t="n">
        <x:f>C11*D11</x:f>
        <x:v>2628000</x:v>
      </x:c>
      <x:c r="G11" s="14" t="n">
        <x:f>(D11-E11)*C11</x:f>
        <x:v>1423500</x:v>
      </x:c>
      <x:c r="H11" s="16" t="n">
        <x:v>46244</x:v>
      </x:c>
    </x:row>
    <x:row r="12">
      <x:c r="A12" t="str">
        <x:v>Trà sữa dâu</x:v>
      </x:c>
      <x:c r="B12" t="str">
        <x:v>Trà sữa</x:v>
      </x:c>
      <x:c r="C12" s="10" t="n">
        <x:v>69</x:v>
      </x:c>
      <x:c r="D12" s="14" t="n">
        <x:v>36000</x:v>
      </x:c>
      <x:c r="E12" s="14" t="n">
        <x:v>16000</x:v>
      </x:c>
      <x:c r="F12" s="14" t="n">
        <x:f>C12*D12</x:f>
        <x:v>2484000</x:v>
      </x:c>
      <x:c r="G12" s="14" t="n">
        <x:f>(D12-E12)*C12</x:f>
        <x:v>1380000</x:v>
      </x:c>
      <x:c r="H12" s="16" t="n">
        <x:v>46245</x:v>
      </x:c>
    </x:row>
    <x:row r="13">
      <x:c r="A13" t="str">
        <x:v>Trà sữa kem cheese</x:v>
      </x:c>
      <x:c r="B13" t="str">
        <x:v>Trà sữa</x:v>
      </x:c>
      <x:c r="C13" s="10" t="n">
        <x:v>61</x:v>
      </x:c>
      <x:c r="D13" s="14" t="n">
        <x:v>40000</x:v>
      </x:c>
      <x:c r="E13" s="14" t="n">
        <x:v>19000</x:v>
      </x:c>
      <x:c r="F13" s="14" t="n">
        <x:f>C13*D13</x:f>
        <x:v>2440000</x:v>
      </x:c>
      <x:c r="G13" s="14" t="n">
        <x:f>(D13-E13)*C13</x:f>
        <x:v>1281000</x:v>
      </x:c>
      <x:c r="H13" s="16" t="n">
        <x:v>46246</x:v>
      </x:c>
    </x:row>
    <x:row r="14">
      <x:c r="A14" t="str">
        <x:v>Cà phê đen</x:v>
      </x:c>
      <x:c r="B14" t="str">
        <x:v>Cà phê</x:v>
      </x:c>
      <x:c r="C14" s="10" t="n">
        <x:v>90</x:v>
      </x:c>
      <x:c r="D14" s="14" t="n">
        <x:v>20000</x:v>
      </x:c>
      <x:c r="E14" s="14" t="n">
        <x:v>7000</x:v>
      </x:c>
      <x:c r="F14" s="14" t="n">
        <x:f>C14*D14</x:f>
        <x:v>1800000</x:v>
      </x:c>
      <x:c r="G14" s="14" t="n">
        <x:f>(D14-E14)*C14</x:f>
        <x:v>1170000</x:v>
      </x:c>
      <x:c r="H14" s="16" t="n">
        <x:v>46247</x:v>
      </x:c>
    </x:row>
    <x:row r="15">
      <x:c r="A15" t="str">
        <x:v>Cà phê sữa</x:v>
      </x:c>
      <x:c r="B15" t="str">
        <x:v>Cà phê</x:v>
      </x:c>
      <x:c r="C15" s="10" t="n">
        <x:v>98</x:v>
      </x:c>
      <x:c r="D15" s="14" t="n">
        <x:v>25000</x:v>
      </x:c>
      <x:c r="E15" s="14" t="n">
        <x:v>9000</x:v>
      </x:c>
      <x:c r="F15" s="14" t="n">
        <x:f>C15*D15</x:f>
        <x:v>2450000</x:v>
      </x:c>
      <x:c r="G15" s="14" t="n">
        <x:f>(D15-E15)*C15</x:f>
        <x:v>1568000</x:v>
      </x:c>
      <x:c r="H15" s="16" t="n">
        <x:v>46248</x:v>
      </x:c>
    </x:row>
    <x:row r="16">
      <x:c r="A16" t="str">
        <x:v>Bạc xỉu</x:v>
      </x:c>
      <x:c r="B16" t="str">
        <x:v>Cà phê</x:v>
      </x:c>
      <x:c r="C16" s="10" t="n">
        <x:v>84</x:v>
      </x:c>
      <x:c r="D16" s="14" t="n">
        <x:v>28000</x:v>
      </x:c>
      <x:c r="E16" s="14" t="n">
        <x:v>11000</x:v>
      </x:c>
      <x:c r="F16" s="14" t="n">
        <x:f>C16*D16</x:f>
        <x:v>2352000</x:v>
      </x:c>
      <x:c r="G16" s="14" t="n">
        <x:f>(D16-E16)*C16</x:f>
        <x:v>1428000</x:v>
      </x:c>
      <x:c r="H16" s="16" t="n">
        <x:v>46249</x:v>
      </x:c>
    </x:row>
    <x:row r="17">
      <x:c r="A17" t="str">
        <x:v>Latte</x:v>
      </x:c>
      <x:c r="B17" t="str">
        <x:v>Cà phê</x:v>
      </x:c>
      <x:c r="C17" s="10" t="n">
        <x:v>72</x:v>
      </x:c>
      <x:c r="D17" s="14" t="n">
        <x:v>35000</x:v>
      </x:c>
      <x:c r="E17" s="14" t="n">
        <x:v>15000</x:v>
      </x:c>
      <x:c r="F17" s="14" t="n">
        <x:f>C17*D17</x:f>
        <x:v>2520000</x:v>
      </x:c>
      <x:c r="G17" s="14" t="n">
        <x:f>(D17-E17)*C17</x:f>
        <x:v>1440000</x:v>
      </x:c>
      <x:c r="H17" s="16" t="n">
        <x:v>46250</x:v>
      </x:c>
    </x:row>
    <x:row r="18">
      <x:c r="A18" t="str">
        <x:v>Cappuccino</x:v>
      </x:c>
      <x:c r="B18" t="str">
        <x:v>Cà phê</x:v>
      </x:c>
      <x:c r="C18" s="10" t="n">
        <x:v>65</x:v>
      </x:c>
      <x:c r="D18" s="14" t="n">
        <x:v>38000</x:v>
      </x:c>
      <x:c r="E18" s="14" t="n">
        <x:v>17000</x:v>
      </x:c>
      <x:c r="F18" s="14" t="n">
        <x:f>C18*D18</x:f>
        <x:v>2470000</x:v>
      </x:c>
      <x:c r="G18" s="14" t="n">
        <x:f>(D18-E18)*C18</x:f>
        <x:v>1365000</x:v>
      </x:c>
      <x:c r="H18" s="16" t="n">
        <x:v>46251</x:v>
      </x:c>
    </x:row>
    <x:row r="19">
      <x:c r="A19" t="str">
        <x:v>Cà phê muối</x:v>
      </x:c>
      <x:c r="B19" t="str">
        <x:v>Cà phê</x:v>
      </x:c>
      <x:c r="C19" s="10" t="n">
        <x:v>93</x:v>
      </x:c>
      <x:c r="D19" s="14" t="n">
        <x:v>32000</x:v>
      </x:c>
      <x:c r="E19" s="14" t="n">
        <x:v>13000</x:v>
      </x:c>
      <x:c r="F19" s="14" t="n">
        <x:f>C19*D19</x:f>
        <x:v>2976000</x:v>
      </x:c>
      <x:c r="G19" s="14" t="n">
        <x:f>(D19-E19)*C19</x:f>
        <x:v>1767000</x:v>
      </x:c>
      <x:c r="H19" s="16" t="n">
        <x:v>46252</x:v>
      </x:c>
    </x:row>
    <x:row r="20">
      <x:c r="A20" t="str">
        <x:v>Trà sữa truyền thống</x:v>
      </x:c>
      <x:c r="B20" t="str">
        <x:v>Trà sữa</x:v>
      </x:c>
      <x:c r="C20" s="10" t="n">
        <x:v>110</x:v>
      </x:c>
      <x:c r="D20" s="14" t="n">
        <x:v>30000</x:v>
      </x:c>
      <x:c r="E20" s="14" t="n">
        <x:v>12000</x:v>
      </x:c>
      <x:c r="F20" s="14" t="n">
        <x:f>C20*D20</x:f>
        <x:v>3300000</x:v>
      </x:c>
      <x:c r="G20" s="14" t="n">
        <x:f>(D20-E20)*C20</x:f>
        <x:v>1980000</x:v>
      </x:c>
      <x:c r="H20" s="16" t="n">
        <x:v>46253</x:v>
      </x:c>
    </x:row>
    <x:row r="21">
      <x:c r="A21" t="str">
        <x:v>Trà sữa trân châu</x:v>
      </x:c>
      <x:c r="B21" t="str">
        <x:v>Trà sữa</x:v>
      </x:c>
      <x:c r="C21" s="10" t="n">
        <x:v>101</x:v>
      </x:c>
      <x:c r="D21" s="14" t="n">
        <x:v>35000</x:v>
      </x:c>
      <x:c r="E21" s="14" t="n">
        <x:v>15000</x:v>
      </x:c>
      <x:c r="F21" s="14" t="n">
        <x:f>C21*D21</x:f>
        <x:v>3535000</x:v>
      </x:c>
      <x:c r="G21" s="14" t="n">
        <x:f>(D21-E21)*C21</x:f>
        <x:v>2020000</x:v>
      </x:c>
      <x:c r="H21" s="16" t="n">
        <x:v>46254</x:v>
      </x:c>
    </x:row>
    <x:row r="22">
      <x:c r="A22" t="str">
        <x:v>Trà sữa matcha</x:v>
      </x:c>
      <x:c r="B22" t="str">
        <x:v>Trà sữa</x:v>
      </x:c>
      <x:c r="C22" s="10" t="n">
        <x:v>86</x:v>
      </x:c>
      <x:c r="D22" s="14" t="n">
        <x:v>35000</x:v>
      </x:c>
      <x:c r="E22" s="14" t="n">
        <x:v>16000</x:v>
      </x:c>
      <x:c r="F22" s="14" t="n">
        <x:f>C22*D22</x:f>
        <x:v>3010000</x:v>
      </x:c>
      <x:c r="G22" s="14" t="n">
        <x:f>(D22-E22)*C22</x:f>
        <x:v>1634000</x:v>
      </x:c>
      <x:c r="H22" s="16" t="n">
        <x:v>46255</x:v>
      </x:c>
    </x:row>
    <x:row r="23">
      <x:c r="A23" t="str">
        <x:v>Trà sữa socola</x:v>
      </x:c>
      <x:c r="B23" t="str">
        <x:v>Trà sữa</x:v>
      </x:c>
      <x:c r="C23" s="10" t="n">
        <x:v>79</x:v>
      </x:c>
      <x:c r="D23" s="14" t="n">
        <x:v>36000</x:v>
      </x:c>
      <x:c r="E23" s="14" t="n">
        <x:v>16500</x:v>
      </x:c>
      <x:c r="F23" s="14" t="n">
        <x:f>C23*D23</x:f>
        <x:v>2844000</x:v>
      </x:c>
      <x:c r="G23" s="14" t="n">
        <x:f>(D23-E23)*C23</x:f>
        <x:v>1540500</x:v>
      </x:c>
      <x:c r="H23" s="16" t="n">
        <x:v>46256</x:v>
      </x:c>
    </x:row>
    <x:row r="24">
      <x:c r="A24" t="str">
        <x:v>Trà sữa dâu</x:v>
      </x:c>
      <x:c r="B24" t="str">
        <x:v>Trà sữa</x:v>
      </x:c>
      <x:c r="C24" s="10" t="n">
        <x:v>74</x:v>
      </x:c>
      <x:c r="D24" s="14" t="n">
        <x:v>36000</x:v>
      </x:c>
      <x:c r="E24" s="14" t="n">
        <x:v>16000</x:v>
      </x:c>
      <x:c r="F24" s="14" t="n">
        <x:f>C24*D24</x:f>
        <x:v>2664000</x:v>
      </x:c>
      <x:c r="G24" s="14" t="n">
        <x:f>(D24-E24)*C24</x:f>
        <x:v>1480000</x:v>
      </x:c>
      <x:c r="H24" s="16" t="n">
        <x:v>46257</x:v>
      </x:c>
    </x:row>
    <x:row r="25">
      <x:c r="A25" t="str">
        <x:v>Trà sữa kem cheese</x:v>
      </x:c>
      <x:c r="B25" t="str">
        <x:v>Trà sữa</x:v>
      </x:c>
      <x:c r="C25" s="10" t="n">
        <x:v>67</x:v>
      </x:c>
      <x:c r="D25" s="14" t="n">
        <x:v>40000</x:v>
      </x:c>
      <x:c r="E25" s="14" t="n">
        <x:v>19000</x:v>
      </x:c>
      <x:c r="F25" s="14" t="n">
        <x:f>C25*D25</x:f>
        <x:v>2680000</x:v>
      </x:c>
      <x:c r="G25" s="14" t="n">
        <x:f>(D25-E25)*C25</x:f>
        <x:v>1407000</x:v>
      </x:c>
      <x:c r="H25" s="16" t="n">
        <x:v>46258</x:v>
      </x:c>
    </x:row>
    <x:row r="26">
      <x:c r="A26" t="str">
        <x:v>Cà phê đen</x:v>
      </x:c>
      <x:c r="B26" t="str">
        <x:v>Cà phê</x:v>
      </x:c>
      <x:c r="C26" s="10" t="n">
        <x:v>95</x:v>
      </x:c>
      <x:c r="D26" s="14" t="n">
        <x:v>20000</x:v>
      </x:c>
      <x:c r="E26" s="14" t="n">
        <x:v>7000</x:v>
      </x:c>
      <x:c r="F26" s="14" t="n">
        <x:f>C26*D26</x:f>
        <x:v>1900000</x:v>
      </x:c>
      <x:c r="G26" s="14" t="n">
        <x:f>(D26-E26)*C26</x:f>
        <x:v>1235000</x:v>
      </x:c>
      <x:c r="H26" s="16" t="n">
        <x:v>46259</x:v>
      </x:c>
    </x:row>
    <x:row r="27">
      <x:c r="A27" t="str">
        <x:v>Cà phê sữa</x:v>
      </x:c>
      <x:c r="B27" t="str">
        <x:v>Cà phê</x:v>
      </x:c>
      <x:c r="C27" s="10" t="n">
        <x:v>103</x:v>
      </x:c>
      <x:c r="D27" s="14" t="n">
        <x:v>25000</x:v>
      </x:c>
      <x:c r="E27" s="14" t="n">
        <x:v>9000</x:v>
      </x:c>
      <x:c r="F27" s="14" t="n">
        <x:f>C27*D27</x:f>
        <x:v>2575000</x:v>
      </x:c>
      <x:c r="G27" s="14" t="n">
        <x:f>(D27-E27)*C27</x:f>
        <x:v>1648000</x:v>
      </x:c>
      <x:c r="H27" s="16" t="n">
        <x:v>46260</x:v>
      </x:c>
    </x:row>
    <x:row r="28">
      <x:c r="A28" t="str">
        <x:v>Bạc xỉu</x:v>
      </x:c>
      <x:c r="B28" t="str">
        <x:v>Cà phê</x:v>
      </x:c>
      <x:c r="C28" s="10" t="n">
        <x:v>89</x:v>
      </x:c>
      <x:c r="D28" s="14" t="n">
        <x:v>28000</x:v>
      </x:c>
      <x:c r="E28" s="14" t="n">
        <x:v>11000</x:v>
      </x:c>
      <x:c r="F28" s="14" t="n">
        <x:f>C28*D28</x:f>
        <x:v>2492000</x:v>
      </x:c>
      <x:c r="G28" s="14" t="n">
        <x:f>(D28-E28)*C28</x:f>
        <x:v>1513000</x:v>
      </x:c>
      <x:c r="H28" s="16" t="n">
        <x:v>46261</x:v>
      </x:c>
    </x:row>
    <x:row r="29">
      <x:c r="A29" t="str">
        <x:v>Latte</x:v>
      </x:c>
      <x:c r="B29" t="str">
        <x:v>Cà phê</x:v>
      </x:c>
      <x:c r="C29" s="10" t="n">
        <x:v>76</x:v>
      </x:c>
      <x:c r="D29" s="14" t="n">
        <x:v>35000</x:v>
      </x:c>
      <x:c r="E29" s="14" t="n">
        <x:v>15000</x:v>
      </x:c>
      <x:c r="F29" s="14" t="n">
        <x:f>C29*D29</x:f>
        <x:v>2660000</x:v>
      </x:c>
      <x:c r="G29" s="14" t="n">
        <x:f>(D29-E29)*C29</x:f>
        <x:v>1520000</x:v>
      </x:c>
      <x:c r="H29" s="16" t="n">
        <x:v>46262</x:v>
      </x:c>
    </x:row>
    <x:row r="30">
      <x:c r="A30" t="str">
        <x:v>Cappuccino</x:v>
      </x:c>
      <x:c r="B30" t="str">
        <x:v>Cà phê</x:v>
      </x:c>
      <x:c r="C30" s="10" t="n">
        <x:v>70</x:v>
      </x:c>
      <x:c r="D30" s="14" t="n">
        <x:v>38000</x:v>
      </x:c>
      <x:c r="E30" s="14" t="n">
        <x:v>17000</x:v>
      </x:c>
      <x:c r="F30" s="14" t="n">
        <x:f>C30*D30</x:f>
        <x:v>2660000</x:v>
      </x:c>
      <x:c r="G30" s="14" t="n">
        <x:f>(D30-E30)*C30</x:f>
        <x:v>1470000</x:v>
      </x:c>
      <x:c r="H30" s="16" t="n">
        <x:v>46263</x:v>
      </x:c>
    </x:row>
    <x:row r="31">
      <x:c r="A31" t="str">
        <x:v>Cà phê muối</x:v>
      </x:c>
      <x:c r="B31" t="str">
        <x:v>Cà phê</x:v>
      </x:c>
      <x:c r="C31" s="10" t="n">
        <x:v>97</x:v>
      </x:c>
      <x:c r="D31" s="14" t="n">
        <x:v>32000</x:v>
      </x:c>
      <x:c r="E31" s="14" t="n">
        <x:v>13000</x:v>
      </x:c>
      <x:c r="F31" s="14" t="n">
        <x:f>C31*D31</x:f>
        <x:v>3104000</x:v>
      </x:c>
      <x:c r="G31" s="14" t="n">
        <x:f>(D31-E31)*C31</x:f>
        <x:v>1843000</x:v>
      </x:c>
      <x:c r="H31" s="16" t="n">
        <x:v>46264</x:v>
      </x:c>
    </x:row>
    <x:row r="32">
      <x:c r="A32" t="str">
        <x:v>Trà sữa truyền thống</x:v>
      </x:c>
      <x:c r="B32" t="str">
        <x:v>Trà sữa</x:v>
      </x:c>
      <x:c r="C32" s="10" t="n">
        <x:v>108</x:v>
      </x:c>
      <x:c r="D32" s="14" t="n">
        <x:v>30000</x:v>
      </x:c>
      <x:c r="E32" s="14" t="n">
        <x:v>12000</x:v>
      </x:c>
      <x:c r="F32" s="14" t="n">
        <x:f>C32*D32</x:f>
        <x:v>3240000</x:v>
      </x:c>
      <x:c r="G32" s="14" t="n">
        <x:f>(D32-E32)*C32</x:f>
        <x:v>1944000</x:v>
      </x:c>
      <x:c r="H32" s="16" t="n">
        <x:v>46265</x:v>
      </x:c>
    </x:row>
  </x:sheetData>
  <x:pageMargins left="0.7" right="0.7" top="0.75" bottom="0.75" header="0.3" footer="0.3"/>
  <x:tableParts count="1">
    <x:tablePart xmlns:r="http://schemas.openxmlformats.org/officeDocument/2006/relationships" r:id="R69575729e57648ca"/>
  </x:tableParts>
</x:worksheet>
</file>